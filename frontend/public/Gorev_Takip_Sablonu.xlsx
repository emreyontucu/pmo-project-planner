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name="Görev Takip" sheetId="1" state="visible" r:id="rId1"/>
    <sheet name="Sayfa1" sheetId="2" state="visible" r:id="rId2"/>
    <sheet name="Kılavuz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6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  <font>
      <name val="Arial"/>
      <charset val="1"/>
      <b val="1"/>
      <color rgb="FF006100"/>
      <sz val="9"/>
    </font>
    <font>
      <name val="Arial"/>
      <charset val="1"/>
      <b val="1"/>
      <color rgb="FF9C6500"/>
      <sz val="9"/>
    </font>
    <font>
      <name val="Arial"/>
      <charset val="1"/>
      <b val="1"/>
      <color rgb="FF595959"/>
      <sz val="9"/>
    </font>
    <font>
      <name val="Arial"/>
      <charset val="1"/>
      <b val="1"/>
      <color rgb="FF9C0006"/>
      <sz val="9"/>
    </font>
    <font>
      <name val="Arial"/>
      <charset val="1"/>
      <i val="1"/>
      <color rgb="FF808080"/>
      <sz val="9"/>
    </font>
    <font>
      <name val="Arial"/>
      <charset val="1"/>
      <b val="1"/>
      <color rgb="FF1F3864"/>
      <sz val="12"/>
    </font>
    <font>
      <name val="Arial"/>
      <charset val="1"/>
      <b val="1"/>
      <sz val="9"/>
    </font>
    <font>
      <name val="Arial"/>
      <charset val="1"/>
      <i val="1"/>
      <color rgb="FF2E5395"/>
      <sz val="9"/>
    </font>
    <font>
      <name val="Arial"/>
      <charset val="1"/>
      <sz val="9"/>
    </font>
    <font>
      <name val="Tahoma"/>
      <charset val="1"/>
      <color indexed="81"/>
      <sz val="9"/>
    </font>
    <font>
      <b val="1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6FC"/>
        <bgColor rgb="FFFFFFFF"/>
      </patternFill>
    </fill>
    <fill>
      <patternFill patternType="solid">
        <fgColor rgb="FFFFFFFF"/>
        <bgColor rgb="FFF2F6FC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D9D9D9"/>
      </patternFill>
    </fill>
    <fill>
      <patternFill patternType="solid">
        <fgColor rgb="FFD9D9D9"/>
        <bgColor rgb="FFC6EFCE"/>
      </patternFill>
    </fill>
    <fill>
      <patternFill patternType="solid">
        <fgColor rgb="FFFFC7CE"/>
        <bgColor rgb="FFD9D9D9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3" fillId="4" borderId="1" applyAlignment="1" pivotButton="0" quotePrefix="0" xfId="0">
      <alignment vertical="center" wrapText="1"/>
    </xf>
    <xf numFmtId="0" fontId="12" fillId="4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 wrapText="1"/>
    </xf>
    <xf numFmtId="0" fontId="13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0" fillId="0" borderId="0" pivotButton="0" quotePrefix="0" xfId="0"/>
    <xf numFmtId="0" fontId="9" fillId="0" borderId="0" pivotButton="0" quotePrefix="0" xfId="0"/>
    <xf numFmtId="0" fontId="8" fillId="8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9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15" fillId="0" borderId="0" pivotButton="0" quotePrefix="0" xfId="0"/>
  </cellXfs>
  <cellStyles count="1">
    <cellStyle name="Normal" xfId="0" builtinId="0"/>
  </cellStyles>
  <dxfs count="9">
    <dxf>
      <font>
        <name val="Arial"/>
        <charset val="1"/>
        <b val="1"/>
        <color rgb="FF9C0006"/>
      </font>
      <fill>
        <patternFill>
          <bgColor rgb="FFFFC7CE"/>
        </patternFill>
      </fill>
    </dxf>
    <dxf>
      <font>
        <name val="Arial"/>
        <charset val="1"/>
        <b val="1"/>
        <color rgb="FF595959"/>
      </font>
      <fill>
        <patternFill>
          <bgColor rgb="FFD9D9D9"/>
        </patternFill>
      </fill>
    </dxf>
    <dxf>
      <font>
        <name val="Arial"/>
        <charset val="1"/>
        <b val="1"/>
        <color rgb="FF9C6500"/>
      </font>
      <fill>
        <patternFill>
          <bgColor rgb="FFFFEB9C"/>
        </patternFill>
      </fill>
    </dxf>
    <dxf>
      <font>
        <name val="Arial"/>
        <charset val="1"/>
        <b val="1"/>
        <color rgb="FF006100"/>
      </font>
      <fill>
        <patternFill>
          <bgColor rgb="FFC6EFCE"/>
        </patternFill>
      </fill>
    </dxf>
    <dxf>
      <font>
        <name val="Arial"/>
        <charset val="1"/>
        <color rgb="FF9C0006"/>
      </font>
      <fill>
        <patternFill>
          <bgColor rgb="FFFFC7CE"/>
        </patternFill>
      </fill>
    </dxf>
    <dxf>
      <font>
        <name val="Arial"/>
        <charset val="1"/>
        <b val="1"/>
        <color rgb="FF9C0006"/>
      </font>
      <fill>
        <patternFill>
          <bgColor rgb="FFFFC7CE"/>
        </patternFill>
      </fill>
    </dxf>
    <dxf>
      <font>
        <name val="Arial"/>
        <charset val="1"/>
        <b val="1"/>
        <color rgb="FF595959"/>
      </font>
      <fill>
        <patternFill>
          <bgColor rgb="FFD9D9D9"/>
        </patternFill>
      </fill>
    </dxf>
    <dxf>
      <font>
        <name val="Arial"/>
        <charset val="1"/>
        <b val="1"/>
        <color rgb="FF9C6500"/>
      </font>
      <fill>
        <patternFill>
          <bgColor rgb="FFFFEB9C"/>
        </patternFill>
      </fill>
    </dxf>
    <dxf>
      <font>
        <name val="Arial"/>
        <charset val="1"/>
        <b val="1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6F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tc={FC0F8869-6ADE-422D-9125-6D1333904167}</author>
  </authors>
  <commentList>
    <comment ref="A1" authorId="0" shapeId="0">
      <text>
        <t xml:space="preserve">[Yorum yazışması]
Excel sürümünüz bu yorum yazışmasını okumanıza izin veriyor, ancak dosya daha yeni bir Excel sürümünde açılırsa, yapılan düzenlemeler kaldırılır. Daha fazla bilgi: https://go.microsoft.com/fwlink/?linkid=870924.
Açıklama:
    Otomatik sistem atasın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B2" sqref="B2"/>
    </sheetView>
  </sheetViews>
  <sheetFormatPr baseColWidth="8" defaultColWidth="8.6640625" defaultRowHeight="14.4"/>
  <cols>
    <col width="9" customWidth="1" min="1" max="1"/>
    <col width="16" customWidth="1" min="2" max="2"/>
    <col width="28" customWidth="1" min="3" max="3"/>
    <col width="14" customWidth="1" min="4" max="4"/>
    <col width="10" customWidth="1" min="5" max="5"/>
    <col width="12" customWidth="1" min="6" max="6"/>
    <col width="14" customWidth="1" min="7" max="10"/>
    <col width="12" customWidth="1" min="11" max="12"/>
    <col width="11" customWidth="1" min="13" max="14"/>
    <col width="28" customWidth="1" min="15" max="15"/>
  </cols>
  <sheetData>
    <row r="1" ht="31.5" customHeight="1">
      <c r="A1" s="14" t="inlineStr">
        <is>
          <t>Görev ID</t>
        </is>
      </c>
      <c r="B1" s="14" t="inlineStr">
        <is>
          <t>Proje Aşaması</t>
        </is>
      </c>
      <c r="C1" s="14" t="inlineStr">
        <is>
          <t>Görev Adı</t>
        </is>
      </c>
      <c r="D1" s="14" t="inlineStr">
        <is>
          <t>Sorumlu</t>
        </is>
      </c>
      <c r="E1" s="14" t="inlineStr">
        <is>
          <t>Öncelik</t>
        </is>
      </c>
      <c r="F1" s="14" t="inlineStr">
        <is>
          <t>Durum</t>
        </is>
      </c>
      <c r="G1" s="14" t="inlineStr">
        <is>
          <t>Planlanan
Başlangıç</t>
        </is>
      </c>
      <c r="H1" s="14" t="inlineStr">
        <is>
          <t>Gerçekleşen
Başlangıç</t>
        </is>
      </c>
      <c r="I1" s="14" t="inlineStr">
        <is>
          <t>Planlanan
Bitiş</t>
        </is>
      </c>
      <c r="J1" s="14" t="inlineStr">
        <is>
          <t>Gerçekleşen
Bitiş</t>
        </is>
      </c>
      <c r="K1" s="14" t="inlineStr">
        <is>
          <t>Tahmini
Süre (Gün)</t>
        </is>
      </c>
      <c r="L1" s="14" t="inlineStr">
        <is>
          <t>Gerçekleşen
Süre (Gün)</t>
        </is>
      </c>
      <c r="M1" s="14" t="inlineStr">
        <is>
          <t>Kalan
Süre (Gün)</t>
        </is>
      </c>
      <c r="N1" s="14" t="inlineStr">
        <is>
          <t>İlerleme (%)</t>
        </is>
      </c>
      <c r="O1" s="14" t="inlineStr">
        <is>
          <t>Not</t>
        </is>
      </c>
    </row>
    <row r="2">
      <c r="A2" s="15" t="n"/>
      <c r="B2" s="15" t="n"/>
      <c r="C2" s="15" t="n"/>
      <c r="D2" s="15" t="n"/>
      <c r="E2" s="16" t="n"/>
      <c r="F2" s="16" t="n"/>
      <c r="G2" s="17" t="n"/>
      <c r="H2" s="17" t="n"/>
      <c r="I2" s="17" t="n"/>
      <c r="J2" s="17" t="n"/>
      <c r="K2" s="18">
        <f>IF(G2="","",IF(I2="","",NETWORKDAYS(G2,I2)))</f>
        <v/>
      </c>
      <c r="L2" s="18">
        <f>IF(OR(H2="",J2=""),"",NETWORKDAYS(H2,J2))</f>
        <v/>
      </c>
      <c r="M2" s="18">
        <f>IF(F2="","",IF(OR(F2="Tamamlandı",F2="İptal Edildi"),0,IF(I2="","",NETWORKDAYS(TODAY(),I2))))</f>
        <v/>
      </c>
      <c r="N2" s="19" t="n"/>
      <c r="O2" s="20" t="n"/>
    </row>
    <row r="3">
      <c r="A3" s="21" t="n"/>
      <c r="B3" s="21" t="n"/>
      <c r="C3" s="21" t="n"/>
      <c r="D3" s="21" t="n"/>
      <c r="E3" s="22" t="n"/>
      <c r="F3" s="22" t="n"/>
      <c r="G3" s="23" t="n"/>
      <c r="H3" s="23" t="n"/>
      <c r="I3" s="23" t="n"/>
      <c r="J3" s="23" t="n"/>
      <c r="K3" s="24">
        <f>IF(G3="","",IF(I3="","",NETWORKDAYS(G3,I3)))</f>
        <v/>
      </c>
      <c r="L3" s="24">
        <f>IF(OR(H3="",J3=""),"",NETWORKDAYS(H3,J3))</f>
        <v/>
      </c>
      <c r="M3" s="24">
        <f>IF(F3="","",IF(OR(F3="Tamamlandı",F3="İptal Edildi"),0,IF(I3="","",NETWORKDAYS(TODAY(),I3))))</f>
        <v/>
      </c>
      <c r="N3" s="25" t="n"/>
      <c r="O3" s="26" t="n"/>
    </row>
    <row r="4">
      <c r="A4" s="15" t="n"/>
      <c r="B4" s="15" t="n"/>
      <c r="C4" s="15" t="n"/>
      <c r="D4" s="15" t="n"/>
      <c r="E4" s="16" t="n"/>
      <c r="F4" s="16" t="n"/>
      <c r="G4" s="17" t="n"/>
      <c r="H4" s="17" t="n"/>
      <c r="I4" s="17" t="n"/>
      <c r="J4" s="17" t="n"/>
      <c r="K4" s="18">
        <f>IF(G4="","",IF(I4="","",NETWORKDAYS(G4,I4)))</f>
        <v/>
      </c>
      <c r="L4" s="18">
        <f>IF(OR(H4="",J4=""),"",NETWORKDAYS(H4,J4))</f>
        <v/>
      </c>
      <c r="M4" s="18">
        <f>IF(F4="","",IF(OR(F4="Tamamlandı",F4="İptal Edildi"),0,IF(I4="","",NETWORKDAYS(TODAY(),I4))))</f>
        <v/>
      </c>
      <c r="N4" s="19" t="n"/>
      <c r="O4" s="20" t="n"/>
    </row>
    <row r="5">
      <c r="A5" s="21" t="n"/>
      <c r="B5" s="21" t="n"/>
      <c r="C5" s="21" t="n"/>
      <c r="D5" s="21" t="n"/>
      <c r="E5" s="22" t="n"/>
      <c r="F5" s="22" t="n"/>
      <c r="G5" s="23" t="n"/>
      <c r="H5" s="23" t="n"/>
      <c r="I5" s="23" t="n"/>
      <c r="J5" s="23" t="n"/>
      <c r="K5" s="24">
        <f>IF(G5="","",IF(I5="","",NETWORKDAYS(G5,I5)))</f>
        <v/>
      </c>
      <c r="L5" s="24">
        <f>IF(OR(H5="",J5=""),"",NETWORKDAYS(H5,J5))</f>
        <v/>
      </c>
      <c r="M5" s="24">
        <f>IF(F5="","",IF(OR(F5="Tamamlandı",F5="İptal Edildi"),0,IF(I5="","",NETWORKDAYS(TODAY(),I5))))</f>
        <v/>
      </c>
      <c r="N5" s="25" t="n"/>
      <c r="O5" s="26" t="n"/>
    </row>
    <row r="6">
      <c r="A6" s="15" t="n"/>
      <c r="B6" s="15" t="n"/>
      <c r="C6" s="15" t="n"/>
      <c r="D6" s="15" t="n"/>
      <c r="E6" s="16" t="n"/>
      <c r="F6" s="16" t="n"/>
      <c r="G6" s="17" t="n"/>
      <c r="H6" s="17" t="n"/>
      <c r="I6" s="17" t="n"/>
      <c r="J6" s="17" t="n"/>
      <c r="K6" s="18">
        <f>IF(G6="","",IF(I6="","",NETWORKDAYS(G6,I6)))</f>
        <v/>
      </c>
      <c r="L6" s="18">
        <f>IF(OR(H6="",J6=""),"",NETWORKDAYS(H6,J6))</f>
        <v/>
      </c>
      <c r="M6" s="18">
        <f>IF(F6="","",IF(OR(F6="Tamamlandı",F6="İptal Edildi"),0,IF(I6="","",NETWORKDAYS(TODAY(),I6))))</f>
        <v/>
      </c>
      <c r="N6" s="19" t="n"/>
      <c r="O6" s="20" t="n"/>
    </row>
    <row r="7">
      <c r="A7" s="21" t="n"/>
      <c r="B7" s="21" t="n"/>
      <c r="C7" s="21" t="n"/>
      <c r="D7" s="21" t="n"/>
      <c r="E7" s="22" t="n"/>
      <c r="F7" s="22" t="n"/>
      <c r="G7" s="23" t="n"/>
      <c r="H7" s="23" t="n"/>
      <c r="I7" s="23" t="n"/>
      <c r="J7" s="23" t="n"/>
      <c r="K7" s="24">
        <f>IF(G7="","",IF(I7="","",NETWORKDAYS(G7,I7)))</f>
        <v/>
      </c>
      <c r="L7" s="24">
        <f>IF(OR(H7="",J7=""),"",NETWORKDAYS(H7,J7))</f>
        <v/>
      </c>
      <c r="M7" s="24">
        <f>IF(F7="","",IF(OR(F7="Tamamlandı",F7="İptal Edildi"),0,IF(I7="","",NETWORKDAYS(TODAY(),I7))))</f>
        <v/>
      </c>
      <c r="N7" s="25" t="n"/>
      <c r="O7" s="26" t="n"/>
    </row>
    <row r="8">
      <c r="A8" s="15" t="n"/>
      <c r="B8" s="15" t="n"/>
      <c r="C8" s="15" t="n"/>
      <c r="D8" s="15" t="n"/>
      <c r="E8" s="16" t="n"/>
      <c r="F8" s="16" t="n"/>
      <c r="G8" s="17" t="n"/>
      <c r="H8" s="17" t="n"/>
      <c r="I8" s="17" t="n"/>
      <c r="J8" s="17" t="n"/>
      <c r="K8" s="18">
        <f>IF(G8="","",IF(I8="","",NETWORKDAYS(G8,I8)))</f>
        <v/>
      </c>
      <c r="L8" s="18">
        <f>IF(OR(H8="",J8=""),"",NETWORKDAYS(H8,J8))</f>
        <v/>
      </c>
      <c r="M8" s="18">
        <f>IF(F8="","",IF(OR(F8="Tamamlandı",F8="İptal Edildi"),0,IF(I8="","",NETWORKDAYS(TODAY(),I8))))</f>
        <v/>
      </c>
      <c r="N8" s="19" t="n"/>
      <c r="O8" s="20" t="n"/>
    </row>
    <row r="9">
      <c r="A9" s="21" t="n"/>
      <c r="B9" s="21" t="n"/>
      <c r="C9" s="21" t="n"/>
      <c r="D9" s="21" t="n"/>
      <c r="E9" s="22" t="n"/>
      <c r="F9" s="22" t="n"/>
      <c r="G9" s="23" t="n"/>
      <c r="H9" s="23" t="n"/>
      <c r="I9" s="23" t="n"/>
      <c r="J9" s="23" t="n"/>
      <c r="K9" s="24">
        <f>IF(G9="","",IF(I9="","",NETWORKDAYS(G9,I9)))</f>
        <v/>
      </c>
      <c r="L9" s="24">
        <f>IF(OR(H9="",J9=""),"",NETWORKDAYS(H9,J9))</f>
        <v/>
      </c>
      <c r="M9" s="24">
        <f>IF(F9="","",IF(OR(F9="Tamamlandı",F9="İptal Edildi"),0,IF(I9="","",NETWORKDAYS(TODAY(),I9))))</f>
        <v/>
      </c>
      <c r="N9" s="25" t="n"/>
      <c r="O9" s="26" t="n"/>
    </row>
    <row r="10">
      <c r="A10" s="15" t="n"/>
      <c r="B10" s="15" t="n"/>
      <c r="C10" s="15" t="n"/>
      <c r="D10" s="15" t="n"/>
      <c r="E10" s="16" t="n"/>
      <c r="F10" s="16" t="n"/>
      <c r="G10" s="17" t="n"/>
      <c r="H10" s="17" t="n"/>
      <c r="I10" s="17" t="n"/>
      <c r="J10" s="17" t="n"/>
      <c r="K10" s="18">
        <f>IF(G10="","",IF(I10="","",NETWORKDAYS(G10,I10)))</f>
        <v/>
      </c>
      <c r="L10" s="18">
        <f>IF(OR(H10="",J10=""),"",NETWORKDAYS(H10,J10))</f>
        <v/>
      </c>
      <c r="M10" s="18">
        <f>IF(F10="","",IF(OR(F10="Tamamlandı",F10="İptal Edildi"),0,IF(I10="","",NETWORKDAYS(TODAY(),I10))))</f>
        <v/>
      </c>
      <c r="N10" s="19" t="n"/>
      <c r="O10" s="20" t="n"/>
    </row>
    <row r="11">
      <c r="A11" s="21" t="n"/>
      <c r="B11" s="21" t="n"/>
      <c r="C11" s="21" t="n"/>
      <c r="D11" s="21" t="n"/>
      <c r="E11" s="22" t="n"/>
      <c r="F11" s="22" t="n"/>
      <c r="G11" s="23" t="n"/>
      <c r="H11" s="23" t="n"/>
      <c r="I11" s="23" t="n"/>
      <c r="J11" s="23" t="n"/>
      <c r="K11" s="24">
        <f>IF(G11="","",IF(I11="","",NETWORKDAYS(G11,I11)))</f>
        <v/>
      </c>
      <c r="L11" s="24">
        <f>IF(OR(H11="",J11=""),"",NETWORKDAYS(H11,J11))</f>
        <v/>
      </c>
      <c r="M11" s="24">
        <f>IF(F11="","",IF(OR(F11="Tamamlandı",F11="İptal Edildi"),0,IF(I11="","",NETWORKDAYS(TODAY(),I11))))</f>
        <v/>
      </c>
      <c r="N11" s="25" t="n"/>
      <c r="O11" s="26" t="n"/>
    </row>
    <row r="12">
      <c r="A12" s="15" t="n"/>
      <c r="B12" s="15" t="n"/>
      <c r="C12" s="15" t="n"/>
      <c r="D12" s="15" t="n"/>
      <c r="E12" s="16" t="n"/>
      <c r="F12" s="16" t="n"/>
      <c r="G12" s="17" t="n"/>
      <c r="H12" s="17" t="n"/>
      <c r="I12" s="17" t="n"/>
      <c r="J12" s="17" t="n"/>
      <c r="K12" s="18">
        <f>IF(G12="","",IF(I12="","",NETWORKDAYS(G12,I12)))</f>
        <v/>
      </c>
      <c r="L12" s="18">
        <f>IF(OR(H12="",J12=""),"",NETWORKDAYS(H12,J12))</f>
        <v/>
      </c>
      <c r="M12" s="18">
        <f>IF(F12="","",IF(OR(F12="Tamamlandı",F12="İptal Edildi"),0,IF(I12="","",NETWORKDAYS(TODAY(),I12))))</f>
        <v/>
      </c>
      <c r="N12" s="19" t="n"/>
      <c r="O12" s="20" t="n"/>
    </row>
    <row r="13">
      <c r="A13" s="21" t="n"/>
      <c r="B13" s="21" t="n"/>
      <c r="C13" s="21" t="n"/>
      <c r="D13" s="21" t="n"/>
      <c r="E13" s="22" t="n"/>
      <c r="F13" s="22" t="n"/>
      <c r="G13" s="23" t="n"/>
      <c r="H13" s="23" t="n"/>
      <c r="I13" s="23" t="n"/>
      <c r="J13" s="23" t="n"/>
      <c r="K13" s="24">
        <f>IF(G13="","",IF(I13="","",NETWORKDAYS(G13,I13)))</f>
        <v/>
      </c>
      <c r="L13" s="24">
        <f>IF(OR(H13="",J13=""),"",NETWORKDAYS(H13,J13))</f>
        <v/>
      </c>
      <c r="M13" s="24">
        <f>IF(F13="","",IF(OR(F13="Tamamlandı",F13="İptal Edildi"),0,IF(I13="","",NETWORKDAYS(TODAY(),I13))))</f>
        <v/>
      </c>
      <c r="N13" s="25" t="n"/>
      <c r="O13" s="26" t="n"/>
    </row>
    <row r="14">
      <c r="A14" s="15" t="n"/>
      <c r="B14" s="15" t="n"/>
      <c r="C14" s="15" t="n"/>
      <c r="D14" s="15" t="n"/>
      <c r="E14" s="16" t="n"/>
      <c r="F14" s="16" t="n"/>
      <c r="G14" s="17" t="n"/>
      <c r="H14" s="17" t="n"/>
      <c r="I14" s="17" t="n"/>
      <c r="J14" s="17" t="n"/>
      <c r="K14" s="18">
        <f>IF(G14="","",IF(I14="","",NETWORKDAYS(G14,I14)))</f>
        <v/>
      </c>
      <c r="L14" s="18">
        <f>IF(OR(H14="",J14=""),"",NETWORKDAYS(H14,J14))</f>
        <v/>
      </c>
      <c r="M14" s="18">
        <f>IF(F14="","",IF(OR(F14="Tamamlandı",F14="İptal Edildi"),0,IF(I14="","",NETWORKDAYS(TODAY(),I14))))</f>
        <v/>
      </c>
      <c r="N14" s="19" t="n"/>
      <c r="O14" s="20" t="n"/>
    </row>
    <row r="15">
      <c r="A15" s="21" t="n"/>
      <c r="B15" s="21" t="n"/>
      <c r="C15" s="21" t="n"/>
      <c r="D15" s="21" t="n"/>
      <c r="E15" s="22" t="n"/>
      <c r="F15" s="22" t="n"/>
      <c r="G15" s="23" t="n"/>
      <c r="H15" s="23" t="n"/>
      <c r="I15" s="23" t="n"/>
      <c r="J15" s="23" t="n"/>
      <c r="K15" s="24">
        <f>IF(G15="","",IF(I15="","",NETWORKDAYS(G15,I15)))</f>
        <v/>
      </c>
      <c r="L15" s="24">
        <f>IF(OR(H15="",J15=""),"",NETWORKDAYS(H15,J15))</f>
        <v/>
      </c>
      <c r="M15" s="24">
        <f>IF(F15="","",IF(OR(F15="Tamamlandı",F15="İptal Edildi"),0,IF(I15="","",NETWORKDAYS(TODAY(),I15))))</f>
        <v/>
      </c>
      <c r="N15" s="25" t="n"/>
      <c r="O15" s="26" t="n"/>
    </row>
    <row r="16">
      <c r="A16" s="15" t="n"/>
      <c r="B16" s="15" t="n"/>
      <c r="C16" s="15" t="n"/>
      <c r="D16" s="15" t="n"/>
      <c r="E16" s="16" t="n"/>
      <c r="F16" s="16" t="n"/>
      <c r="G16" s="17" t="n"/>
      <c r="H16" s="17" t="n"/>
      <c r="I16" s="17" t="n"/>
      <c r="J16" s="17" t="n"/>
      <c r="K16" s="18">
        <f>IF(G16="","",IF(I16="","",NETWORKDAYS(G16,I16)))</f>
        <v/>
      </c>
      <c r="L16" s="18">
        <f>IF(OR(H16="",J16=""),"",NETWORKDAYS(H16,J16))</f>
        <v/>
      </c>
      <c r="M16" s="18">
        <f>IF(F16="","",IF(OR(F16="Tamamlandı",F16="İptal Edildi"),0,IF(I16="","",NETWORKDAYS(TODAY(),I16))))</f>
        <v/>
      </c>
      <c r="N16" s="19" t="n"/>
      <c r="O16" s="20" t="n"/>
    </row>
    <row r="17">
      <c r="A17" s="21" t="n"/>
      <c r="B17" s="21" t="n"/>
      <c r="C17" s="21" t="n"/>
      <c r="D17" s="21" t="n"/>
      <c r="E17" s="22" t="n"/>
      <c r="F17" s="22" t="n"/>
      <c r="G17" s="23" t="n"/>
      <c r="H17" s="23" t="n"/>
      <c r="I17" s="23" t="n"/>
      <c r="J17" s="23" t="n"/>
      <c r="K17" s="24">
        <f>IF(G17="","",IF(I17="","",NETWORKDAYS(G17,I17)))</f>
        <v/>
      </c>
      <c r="L17" s="24">
        <f>IF(OR(H17="",J17=""),"",NETWORKDAYS(H17,J17))</f>
        <v/>
      </c>
      <c r="M17" s="24">
        <f>IF(F17="","",IF(OR(F17="Tamamlandı",F17="İptal Edildi"),0,IF(I17="","",NETWORKDAYS(TODAY(),I17))))</f>
        <v/>
      </c>
      <c r="N17" s="25" t="n"/>
      <c r="O17" s="26" t="n"/>
    </row>
    <row r="18">
      <c r="A18" s="15" t="n"/>
      <c r="B18" s="15" t="n"/>
      <c r="C18" s="15" t="n"/>
      <c r="D18" s="15" t="n"/>
      <c r="E18" s="16" t="n"/>
      <c r="F18" s="16" t="n"/>
      <c r="G18" s="17" t="n"/>
      <c r="H18" s="17" t="n"/>
      <c r="I18" s="17" t="n"/>
      <c r="J18" s="17" t="n"/>
      <c r="K18" s="18">
        <f>IF(G18="","",IF(I18="","",NETWORKDAYS(G18,I18)))</f>
        <v/>
      </c>
      <c r="L18" s="18">
        <f>IF(OR(H18="",J18=""),"",NETWORKDAYS(H18,J18))</f>
        <v/>
      </c>
      <c r="M18" s="18">
        <f>IF(F18="","",IF(OR(F18="Tamamlandı",F18="İptal Edildi"),0,IF(I18="","",NETWORKDAYS(TODAY(),I18))))</f>
        <v/>
      </c>
      <c r="N18" s="19" t="n"/>
      <c r="O18" s="20" t="n"/>
    </row>
    <row r="19">
      <c r="A19" s="21" t="n"/>
      <c r="B19" s="21" t="n"/>
      <c r="C19" s="21" t="n"/>
      <c r="D19" s="21" t="n"/>
      <c r="E19" s="22" t="n"/>
      <c r="F19" s="22" t="n"/>
      <c r="G19" s="23" t="n"/>
      <c r="H19" s="23" t="n"/>
      <c r="I19" s="23" t="n"/>
      <c r="J19" s="23" t="n"/>
      <c r="K19" s="24">
        <f>IF(G19="","",IF(I19="","",NETWORKDAYS(G19,I19)))</f>
        <v/>
      </c>
      <c r="L19" s="24">
        <f>IF(OR(H19="",J19=""),"",NETWORKDAYS(H19,J19))</f>
        <v/>
      </c>
      <c r="M19" s="24">
        <f>IF(F19="","",IF(OR(F19="Tamamlandı",F19="İptal Edildi"),0,IF(I19="","",NETWORKDAYS(TODAY(),I19))))</f>
        <v/>
      </c>
      <c r="N19" s="25" t="n"/>
      <c r="O19" s="26" t="n"/>
    </row>
    <row r="20">
      <c r="A20" s="15" t="n"/>
      <c r="B20" s="15" t="n"/>
      <c r="C20" s="15" t="n"/>
      <c r="D20" s="15" t="n"/>
      <c r="E20" s="16" t="n"/>
      <c r="F20" s="16" t="n"/>
      <c r="G20" s="17" t="n"/>
      <c r="H20" s="17" t="n"/>
      <c r="I20" s="17" t="n"/>
      <c r="J20" s="17" t="n"/>
      <c r="K20" s="18">
        <f>IF(G20="","",IF(I20="","",NETWORKDAYS(G20,I20)))</f>
        <v/>
      </c>
      <c r="L20" s="18">
        <f>IF(OR(H20="",J20=""),"",NETWORKDAYS(H20,J20))</f>
        <v/>
      </c>
      <c r="M20" s="18">
        <f>IF(F20="","",IF(OR(F20="Tamamlandı",F20="İptal Edildi"),0,IF(I20="","",NETWORKDAYS(TODAY(),I20))))</f>
        <v/>
      </c>
      <c r="N20" s="19" t="n"/>
      <c r="O20" s="20" t="n"/>
    </row>
    <row r="21">
      <c r="A21" s="21" t="n"/>
      <c r="B21" s="21" t="n"/>
      <c r="C21" s="21" t="n"/>
      <c r="D21" s="21" t="n"/>
      <c r="E21" s="22" t="n"/>
      <c r="F21" s="22" t="n"/>
      <c r="G21" s="23" t="n"/>
      <c r="H21" s="23" t="n"/>
      <c r="I21" s="23" t="n"/>
      <c r="J21" s="23" t="n"/>
      <c r="K21" s="24">
        <f>IF(G21="","",IF(I21="","",NETWORKDAYS(G21,I21)))</f>
        <v/>
      </c>
      <c r="L21" s="24">
        <f>IF(OR(H21="",J21=""),"",NETWORKDAYS(H21,J21))</f>
        <v/>
      </c>
      <c r="M21" s="24">
        <f>IF(F21="","",IF(OR(F21="Tamamlandı",F21="İptal Edildi"),0,IF(I21="","",NETWORKDAYS(TODAY(),I21))))</f>
        <v/>
      </c>
      <c r="N21" s="25" t="n"/>
      <c r="O21" s="26" t="n"/>
    </row>
    <row r="22">
      <c r="A22" s="15" t="n"/>
      <c r="B22" s="15" t="n"/>
      <c r="C22" s="15" t="n"/>
      <c r="D22" s="15" t="n"/>
      <c r="E22" s="16" t="n"/>
      <c r="F22" s="16" t="n"/>
      <c r="G22" s="17" t="n"/>
      <c r="H22" s="17" t="n"/>
      <c r="I22" s="17" t="n"/>
      <c r="J22" s="17" t="n"/>
      <c r="K22" s="18">
        <f>IF(G22="","",IF(I22="","",NETWORKDAYS(G22,I22)))</f>
        <v/>
      </c>
      <c r="L22" s="18">
        <f>IF(OR(H22="",J22=""),"",NETWORKDAYS(H22,J22))</f>
        <v/>
      </c>
      <c r="M22" s="18">
        <f>IF(F22="","",IF(OR(F22="Tamamlandı",F22="İptal Edildi"),0,IF(I22="","",NETWORKDAYS(TODAY(),I22))))</f>
        <v/>
      </c>
      <c r="N22" s="19" t="n"/>
      <c r="O22" s="20" t="n"/>
    </row>
    <row r="23">
      <c r="A23" s="21" t="n"/>
      <c r="B23" s="21" t="n"/>
      <c r="C23" s="21" t="n"/>
      <c r="D23" s="21" t="n"/>
      <c r="E23" s="22" t="n"/>
      <c r="F23" s="22" t="n"/>
      <c r="G23" s="23" t="n"/>
      <c r="H23" s="23" t="n"/>
      <c r="I23" s="23" t="n"/>
      <c r="J23" s="23" t="n"/>
      <c r="K23" s="24">
        <f>IF(G23="","",IF(I23="","",NETWORKDAYS(G23,I23)))</f>
        <v/>
      </c>
      <c r="L23" s="24">
        <f>IF(OR(H23="",J23=""),"",NETWORKDAYS(H23,J23))</f>
        <v/>
      </c>
      <c r="M23" s="24">
        <f>IF(F23="","",IF(OR(F23="Tamamlandı",F23="İptal Edildi"),0,IF(I23="","",NETWORKDAYS(TODAY(),I23))))</f>
        <v/>
      </c>
      <c r="N23" s="25" t="n"/>
      <c r="O23" s="26" t="n"/>
    </row>
    <row r="24">
      <c r="A24" s="15" t="n"/>
      <c r="B24" s="15" t="n"/>
      <c r="C24" s="15" t="n"/>
      <c r="D24" s="15" t="n"/>
      <c r="E24" s="16" t="n"/>
      <c r="F24" s="16" t="n"/>
      <c r="G24" s="17" t="n"/>
      <c r="H24" s="17" t="n"/>
      <c r="I24" s="17" t="n"/>
      <c r="J24" s="17" t="n"/>
      <c r="K24" s="18">
        <f>IF(G24="","",IF(I24="","",NETWORKDAYS(G24,I24)))</f>
        <v/>
      </c>
      <c r="L24" s="18">
        <f>IF(OR(H24="",J24=""),"",NETWORKDAYS(H24,J24))</f>
        <v/>
      </c>
      <c r="M24" s="18">
        <f>IF(F24="","",IF(OR(F24="Tamamlandı",F24="İptal Edildi"),0,IF(I24="","",NETWORKDAYS(TODAY(),I24))))</f>
        <v/>
      </c>
      <c r="N24" s="19" t="n"/>
      <c r="O24" s="20" t="n"/>
    </row>
    <row r="25">
      <c r="A25" s="21" t="n"/>
      <c r="B25" s="21" t="n"/>
      <c r="C25" s="21" t="n"/>
      <c r="D25" s="21" t="n"/>
      <c r="E25" s="22" t="n"/>
      <c r="F25" s="22" t="n"/>
      <c r="G25" s="23" t="n"/>
      <c r="H25" s="23" t="n"/>
      <c r="I25" s="23" t="n"/>
      <c r="J25" s="23" t="n"/>
      <c r="K25" s="24">
        <f>IF(G25="","",IF(I25="","",NETWORKDAYS(G25,I25)))</f>
        <v/>
      </c>
      <c r="L25" s="24">
        <f>IF(OR(H25="",J25=""),"",NETWORKDAYS(H25,J25))</f>
        <v/>
      </c>
      <c r="M25" s="24">
        <f>IF(F25="","",IF(OR(F25="Tamamlandı",F25="İptal Edildi"),0,IF(I25="","",NETWORKDAYS(TODAY(),I25))))</f>
        <v/>
      </c>
      <c r="N25" s="25" t="n"/>
      <c r="O25" s="26" t="n"/>
    </row>
    <row r="26">
      <c r="A26" s="15" t="n"/>
      <c r="B26" s="15" t="n"/>
      <c r="C26" s="15" t="n"/>
      <c r="D26" s="15" t="n"/>
      <c r="E26" s="16" t="n"/>
      <c r="F26" s="16" t="n"/>
      <c r="G26" s="17" t="n"/>
      <c r="H26" s="17" t="n"/>
      <c r="I26" s="17" t="n"/>
      <c r="J26" s="17" t="n"/>
      <c r="K26" s="18">
        <f>IF(G26="","",IF(I26="","",NETWORKDAYS(G26,I26)))</f>
        <v/>
      </c>
      <c r="L26" s="18">
        <f>IF(OR(H26="",J26=""),"",NETWORKDAYS(H26,J26))</f>
        <v/>
      </c>
      <c r="M26" s="18">
        <f>IF(F26="","",IF(OR(F26="Tamamlandı",F26="İptal Edildi"),0,IF(I26="","",NETWORKDAYS(TODAY(),I26))))</f>
        <v/>
      </c>
      <c r="N26" s="19" t="n"/>
      <c r="O26" s="20" t="n"/>
    </row>
    <row r="36" ht="15.6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25.5" customHeight="1"/>
  </sheetData>
  <mergeCells count="54">
    <mergeCell ref="A48:B48"/>
    <mergeCell ref="C50:E50"/>
    <mergeCell ref="C44:E44"/>
    <mergeCell ref="F46:O46"/>
    <mergeCell ref="C41:E41"/>
    <mergeCell ref="A51:B51"/>
    <mergeCell ref="A49:B49"/>
    <mergeCell ref="A45:B45"/>
    <mergeCell ref="F52:O52"/>
    <mergeCell ref="C40:E40"/>
    <mergeCell ref="F48:O48"/>
    <mergeCell ref="F43:O43"/>
    <mergeCell ref="A29:D29"/>
    <mergeCell ref="F39:O39"/>
    <mergeCell ref="F37:O37"/>
    <mergeCell ref="C43:E43"/>
    <mergeCell ref="C51:E51"/>
    <mergeCell ref="C46:E46"/>
    <mergeCell ref="F49:O49"/>
    <mergeCell ref="A31:D31"/>
    <mergeCell ref="C52:E52"/>
    <mergeCell ref="A41:B41"/>
    <mergeCell ref="C39:E39"/>
    <mergeCell ref="A30:D30"/>
    <mergeCell ref="A46:B46"/>
    <mergeCell ref="F44:O44"/>
    <mergeCell ref="C48:E48"/>
    <mergeCell ref="A37:B37"/>
    <mergeCell ref="A50:B50"/>
    <mergeCell ref="C38:E38"/>
    <mergeCell ref="C37:E37"/>
    <mergeCell ref="F40:O40"/>
    <mergeCell ref="A47:B47"/>
    <mergeCell ref="A42:B42"/>
    <mergeCell ref="C49:E49"/>
    <mergeCell ref="F51:O51"/>
    <mergeCell ref="A34:O34"/>
    <mergeCell ref="C42:E42"/>
    <mergeCell ref="F42:O42"/>
    <mergeCell ref="A38:B38"/>
    <mergeCell ref="F45:O45"/>
    <mergeCell ref="A52:B52"/>
    <mergeCell ref="F41:O41"/>
    <mergeCell ref="A43:B43"/>
    <mergeCell ref="F50:O50"/>
    <mergeCell ref="C45:E45"/>
    <mergeCell ref="A36:O36"/>
    <mergeCell ref="A44:B44"/>
    <mergeCell ref="A40:B40"/>
    <mergeCell ref="F47:O47"/>
    <mergeCell ref="F38:O38"/>
    <mergeCell ref="A32:D32"/>
    <mergeCell ref="A39:B39"/>
    <mergeCell ref="C47:E47"/>
  </mergeCells>
  <conditionalFormatting sqref="F2:F26">
    <cfRule type="expression" priority="2" dxfId="3">
      <formula>F2="Tamamlandı"</formula>
    </cfRule>
    <cfRule type="expression" priority="3" dxfId="2">
      <formula>F2="Devam Ediyor"</formula>
    </cfRule>
    <cfRule type="expression" priority="4" dxfId="1">
      <formula>OR(F2="Beklemede",F2="İptal Edildi")</formula>
    </cfRule>
    <cfRule type="expression" priority="5" dxfId="0">
      <formula>AND(F2&lt;&gt;"Tamamlandı",F2&lt;&gt;"İptal Edildi",F2&lt;&gt;"",I2&lt;&gt;"",I2&lt;TODAY())</formula>
    </cfRule>
  </conditionalFormatting>
  <conditionalFormatting sqref="M2:M26">
    <cfRule type="cellIs" priority="6" operator="lessThan" dxfId="4">
      <formula>0</formula>
    </cfRule>
  </conditionalFormatting>
  <conditionalFormatting sqref="N2:N26">
    <cfRule type="dataBar" priority="7">
      <dataBar>
        <cfvo type="num" val="0"/>
        <cfvo type="num" val="1"/>
        <color rgb="FF638EC6"/>
      </dataBar>
    </cfRule>
  </conditionalFormatting>
  <dataValidations count="5">
    <dataValidation sqref="E2:E26" showDropDown="0" showInputMessage="0" showErrorMessage="1" allowBlank="1" errorTitle="Geçersiz Öncelik" error="Lütfen listeden bir öncelik seçin: Kritik, Yüksek, Orta, Düşük." type="list">
      <formula1>"Kritik,Yüksek,Orta,Düşük"</formula1>
      <formula2>0</formula2>
    </dataValidation>
    <dataValidation sqref="F2:F26" showDropDown="0" showInputMessage="0" showErrorMessage="1" allowBlank="1" errorTitle="Geçersiz Durum" error="Lütfen listeden bir durum seçin: Başlamadı, Devam Ediyor, Beklemede, Tamamlandı, İptal Edildi." type="list">
      <formula1>"Başlamadı,Devam Ediyor,Beklemede,Tamamlandı,İptal Edildi"</formula1>
      <formula2>0</formula2>
    </dataValidation>
    <dataValidation sqref="G2:J26" showDropDown="0" showInputMessage="0" showErrorMessage="1" allowBlank="1" errorTitle="Geçersiz Tarih" error="Lütfen GG.AA.YYYY formatında geçerli bir tarih girin (2020-2035 arası)." type="date">
      <formula1>2020-1-1</formula1>
      <formula2>2035-12-31</formula2>
    </dataValidation>
    <dataValidation sqref="N2:N26" showDropDown="0" showInputMessage="0" showErrorMessage="1" allowBlank="1" errorTitle="Geçersiz İlerleme" error="İlerleme yüzde 0 ile 100 arasında olmalıdır (örn. %60 için 0,6 yazın)." type="decimal">
      <formula1>0</formula1>
      <formula2>1</formula2>
    </dataValidation>
    <dataValidation sqref="A2:A26" showDropDown="0" showInputMessage="0" showErrorMessage="1" allowBlank="1" errorTitle="Görev ID çok uzun" error="Görev ID en fazla 10 karakter olmalıdır (örn. G001)." type="textLength" operator="lessThanOrEqual">
      <formula1>10</formula1>
      <formula2>0</formula2>
    </dataValidation>
  </dataValidations>
  <pageMargins left="0.75" right="0.75" top="1" bottom="1" header="0.511811023622047" footer="0.511811023622047"/>
  <pageSetup orientation="landscape" fitToHeight="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workbookViewId="0">
      <selection activeCell="A3" sqref="A3"/>
    </sheetView>
  </sheetViews>
  <sheetFormatPr baseColWidth="8" defaultRowHeight="14.4"/>
  <cols>
    <col width="31.109375" customWidth="1" min="1" max="1"/>
    <col width="23.88671875" customWidth="1" min="2" max="2"/>
  </cols>
  <sheetData>
    <row r="1" ht="52.8" customHeight="1">
      <c r="A1" s="14" t="inlineStr">
        <is>
          <t>Proje Aşaması</t>
        </is>
      </c>
      <c r="B1" s="14" t="inlineStr">
        <is>
          <t>Görev Adı</t>
        </is>
      </c>
      <c r="C1" s="14" t="inlineStr">
        <is>
          <t>Sorumlu</t>
        </is>
      </c>
      <c r="D1" s="14" t="inlineStr">
        <is>
          <t>Öncelik</t>
        </is>
      </c>
      <c r="E1" s="14" t="inlineStr">
        <is>
          <t>Durum</t>
        </is>
      </c>
      <c r="F1" s="14" t="inlineStr">
        <is>
          <t>Planlanan
Başlangıç</t>
        </is>
      </c>
      <c r="G1" s="14" t="inlineStr">
        <is>
          <t>Gerçekleşen
Başlangıç</t>
        </is>
      </c>
      <c r="H1" s="14" t="inlineStr">
        <is>
          <t>Planlanan
Bitiş</t>
        </is>
      </c>
      <c r="I1" s="14" t="inlineStr">
        <is>
          <t>Gerçekleşen
Bitiş</t>
        </is>
      </c>
      <c r="J1" s="14" t="inlineStr">
        <is>
          <t>Not</t>
        </is>
      </c>
    </row>
    <row r="2">
      <c r="A2" s="15" t="n"/>
      <c r="B2" s="15" t="inlineStr">
        <is>
          <t>text</t>
        </is>
      </c>
      <c r="C2" s="15" t="inlineStr">
        <is>
          <t>text</t>
        </is>
      </c>
      <c r="D2" s="16" t="n"/>
      <c r="E2" s="16" t="n"/>
      <c r="F2" s="17" t="n"/>
      <c r="G2" s="17" t="n"/>
      <c r="H2" s="17" t="n"/>
      <c r="I2" s="17" t="n"/>
      <c r="J2" s="20" t="inlineStr">
        <is>
          <t>text</t>
        </is>
      </c>
    </row>
    <row r="3">
      <c r="A3" s="21" t="n"/>
      <c r="B3" s="21" t="n"/>
      <c r="C3" s="21" t="n"/>
      <c r="D3" s="22" t="n"/>
      <c r="E3" s="22" t="n"/>
      <c r="F3" s="23" t="n"/>
      <c r="G3" s="23" t="n"/>
      <c r="H3" s="23" t="n"/>
      <c r="I3" s="23" t="n"/>
      <c r="J3" s="26" t="n"/>
    </row>
    <row r="4">
      <c r="A4" s="15" t="n"/>
      <c r="B4" s="15" t="n"/>
      <c r="C4" s="15" t="n"/>
      <c r="D4" s="16" t="n"/>
      <c r="E4" s="16" t="n"/>
      <c r="F4" s="17" t="n"/>
      <c r="G4" s="17" t="n"/>
      <c r="H4" s="17" t="n"/>
      <c r="I4" s="17" t="n"/>
      <c r="J4" s="20" t="n"/>
    </row>
    <row r="5">
      <c r="A5" s="21" t="n"/>
      <c r="B5" s="21" t="n"/>
      <c r="C5" s="21" t="n"/>
      <c r="D5" s="22" t="n"/>
      <c r="E5" s="22" t="n"/>
      <c r="F5" s="23" t="n"/>
      <c r="G5" s="23" t="n"/>
      <c r="H5" s="23" t="n"/>
      <c r="I5" s="23" t="n"/>
      <c r="J5" s="26" t="n"/>
    </row>
    <row r="6">
      <c r="A6" s="15" t="n"/>
      <c r="B6" s="15" t="n"/>
      <c r="C6" s="15" t="n"/>
      <c r="D6" s="16" t="n"/>
      <c r="E6" s="16" t="n"/>
      <c r="F6" s="17" t="n"/>
      <c r="G6" s="17" t="n"/>
      <c r="H6" s="17" t="n"/>
      <c r="I6" s="17" t="n"/>
      <c r="J6" s="20" t="n"/>
    </row>
    <row r="7">
      <c r="A7" s="21" t="n"/>
      <c r="B7" s="21" t="n"/>
      <c r="C7" s="21" t="n"/>
      <c r="D7" s="22" t="n"/>
      <c r="E7" s="22" t="n"/>
      <c r="F7" s="23" t="n"/>
      <c r="G7" s="23" t="n"/>
      <c r="H7" s="23" t="n"/>
      <c r="I7" s="23" t="n"/>
      <c r="J7" s="26" t="n"/>
    </row>
    <row r="8">
      <c r="A8" s="15" t="n"/>
      <c r="B8" s="15" t="n"/>
      <c r="C8" s="15" t="n"/>
      <c r="D8" s="16" t="n"/>
      <c r="E8" s="16" t="n"/>
      <c r="F8" s="17" t="n"/>
      <c r="G8" s="17" t="n"/>
      <c r="H8" s="17" t="n"/>
      <c r="I8" s="17" t="n"/>
      <c r="J8" s="20" t="n"/>
    </row>
    <row r="9">
      <c r="A9" s="21" t="n"/>
      <c r="B9" s="21" t="n"/>
      <c r="C9" s="21" t="n"/>
      <c r="D9" s="22" t="n"/>
      <c r="E9" s="22" t="n"/>
      <c r="F9" s="23" t="n"/>
      <c r="G9" s="23" t="n"/>
      <c r="H9" s="23" t="n"/>
      <c r="I9" s="23" t="n"/>
      <c r="J9" s="26" t="n"/>
    </row>
    <row r="10">
      <c r="A10" s="15" t="n"/>
      <c r="B10" s="15" t="n"/>
      <c r="C10" s="15" t="n"/>
      <c r="D10" s="16" t="n"/>
      <c r="E10" s="16" t="n"/>
      <c r="F10" s="17" t="n"/>
      <c r="G10" s="17" t="n"/>
      <c r="H10" s="17" t="n"/>
      <c r="I10" s="17" t="n"/>
      <c r="J10" s="20" t="n"/>
    </row>
    <row r="11">
      <c r="A11" s="21" t="n"/>
      <c r="B11" s="21" t="n"/>
      <c r="C11" s="21" t="n"/>
      <c r="D11" s="22" t="n"/>
      <c r="E11" s="22" t="n"/>
      <c r="F11" s="23" t="n"/>
      <c r="G11" s="23" t="n"/>
      <c r="H11" s="23" t="n"/>
      <c r="I11" s="23" t="n"/>
      <c r="J11" s="26" t="n"/>
    </row>
    <row r="12">
      <c r="A12" s="15" t="n"/>
      <c r="B12" s="15" t="n"/>
      <c r="C12" s="15" t="n"/>
      <c r="D12" s="16" t="n"/>
      <c r="E12" s="16" t="n"/>
      <c r="F12" s="17" t="n"/>
      <c r="G12" s="17" t="n"/>
      <c r="H12" s="17" t="n"/>
      <c r="I12" s="17" t="n"/>
      <c r="J12" s="20" t="n"/>
    </row>
    <row r="13">
      <c r="A13" s="21" t="n"/>
      <c r="B13" s="21" t="n"/>
      <c r="C13" s="21" t="n"/>
      <c r="D13" s="22" t="n"/>
      <c r="E13" s="22" t="n"/>
      <c r="F13" s="23" t="n"/>
      <c r="G13" s="23" t="n"/>
      <c r="H13" s="23" t="n"/>
      <c r="I13" s="23" t="n"/>
      <c r="J13" s="26" t="n"/>
    </row>
    <row r="14">
      <c r="A14" s="15" t="n"/>
      <c r="B14" s="15" t="n"/>
      <c r="C14" s="15" t="n"/>
      <c r="D14" s="16" t="n"/>
      <c r="E14" s="16" t="n"/>
      <c r="F14" s="17" t="n"/>
      <c r="G14" s="17" t="n"/>
      <c r="H14" s="17" t="n"/>
      <c r="I14" s="17" t="n"/>
      <c r="J14" s="20" t="n"/>
    </row>
    <row r="15">
      <c r="A15" s="21" t="n"/>
      <c r="B15" s="21" t="n"/>
      <c r="C15" s="21" t="n"/>
      <c r="D15" s="22" t="n"/>
      <c r="E15" s="22" t="n"/>
      <c r="F15" s="23" t="n"/>
      <c r="G15" s="23" t="n"/>
      <c r="H15" s="23" t="n"/>
      <c r="I15" s="23" t="n"/>
      <c r="J15" s="26" t="n"/>
    </row>
    <row r="16">
      <c r="A16" s="15" t="n"/>
      <c r="B16" s="15" t="n"/>
      <c r="C16" s="15" t="n"/>
      <c r="D16" s="16" t="n"/>
      <c r="E16" s="16" t="n"/>
      <c r="F16" s="17" t="n"/>
      <c r="G16" s="17" t="n"/>
      <c r="H16" s="17" t="n"/>
      <c r="I16" s="17" t="n"/>
      <c r="J16" s="20" t="n"/>
    </row>
    <row r="17">
      <c r="A17" s="21" t="n"/>
      <c r="B17" s="21" t="n"/>
      <c r="C17" s="21" t="n"/>
      <c r="D17" s="22" t="n"/>
      <c r="E17" s="22" t="n"/>
      <c r="F17" s="23" t="n"/>
      <c r="G17" s="23" t="n"/>
      <c r="H17" s="23" t="n"/>
      <c r="I17" s="23" t="n"/>
      <c r="J17" s="26" t="n"/>
    </row>
    <row r="18">
      <c r="A18" s="15" t="n"/>
      <c r="B18" s="15" t="n"/>
      <c r="C18" s="15" t="n"/>
      <c r="D18" s="16" t="n"/>
      <c r="E18" s="16" t="n"/>
      <c r="F18" s="17" t="n"/>
      <c r="G18" s="17" t="n"/>
      <c r="H18" s="17" t="n"/>
      <c r="I18" s="17" t="n"/>
      <c r="J18" s="20" t="n"/>
    </row>
    <row r="19">
      <c r="A19" s="21" t="n"/>
      <c r="B19" s="21" t="n"/>
      <c r="C19" s="21" t="n"/>
      <c r="D19" s="22" t="n"/>
      <c r="E19" s="22" t="n"/>
      <c r="F19" s="23" t="n"/>
      <c r="G19" s="23" t="n"/>
      <c r="H19" s="23" t="n"/>
      <c r="I19" s="23" t="n"/>
      <c r="J19" s="26" t="n"/>
    </row>
    <row r="20">
      <c r="A20" s="15" t="n"/>
      <c r="B20" s="15" t="n"/>
      <c r="C20" s="15" t="n"/>
      <c r="D20" s="16" t="n"/>
      <c r="E20" s="16" t="n"/>
      <c r="F20" s="17" t="n"/>
      <c r="G20" s="17" t="n"/>
      <c r="H20" s="17" t="n"/>
      <c r="I20" s="17" t="n"/>
      <c r="J20" s="20" t="n"/>
    </row>
    <row r="21">
      <c r="A21" s="21" t="n"/>
      <c r="B21" s="21" t="n"/>
      <c r="C21" s="21" t="n"/>
      <c r="D21" s="22" t="n"/>
      <c r="E21" s="22" t="n"/>
      <c r="F21" s="23" t="n"/>
      <c r="G21" s="23" t="n"/>
      <c r="H21" s="23" t="n"/>
      <c r="I21" s="23" t="n"/>
      <c r="J21" s="26" t="n"/>
    </row>
    <row r="22">
      <c r="A22" s="15" t="n"/>
      <c r="B22" s="15" t="n"/>
      <c r="C22" s="15" t="n"/>
      <c r="D22" s="16" t="n"/>
      <c r="E22" s="16" t="n"/>
      <c r="F22" s="17" t="n"/>
      <c r="G22" s="17" t="n"/>
      <c r="H22" s="17" t="n"/>
      <c r="I22" s="17" t="n"/>
      <c r="J22" s="20" t="n"/>
    </row>
    <row r="23">
      <c r="A23" s="21" t="n"/>
      <c r="B23" s="21" t="n"/>
      <c r="C23" s="21" t="n"/>
      <c r="D23" s="22" t="n"/>
      <c r="E23" s="22" t="n"/>
      <c r="F23" s="23" t="n"/>
      <c r="G23" s="23" t="n"/>
      <c r="H23" s="23" t="n"/>
      <c r="I23" s="23" t="n"/>
      <c r="J23" s="26" t="n"/>
    </row>
    <row r="24">
      <c r="A24" s="15" t="n"/>
      <c r="B24" s="15" t="n"/>
      <c r="C24" s="15" t="n"/>
      <c r="D24" s="16" t="n"/>
      <c r="E24" s="16" t="n"/>
      <c r="F24" s="17" t="n"/>
      <c r="G24" s="17" t="n"/>
      <c r="H24" s="17" t="n"/>
      <c r="I24" s="17" t="n"/>
      <c r="J24" s="20" t="n"/>
    </row>
    <row r="25">
      <c r="A25" s="21" t="n"/>
      <c r="B25" s="21" t="n"/>
      <c r="C25" s="21" t="n"/>
      <c r="D25" s="22" t="n"/>
      <c r="E25" s="22" t="n"/>
      <c r="F25" s="23" t="n"/>
      <c r="G25" s="23" t="n"/>
      <c r="H25" s="23" t="n"/>
      <c r="I25" s="23" t="n"/>
      <c r="J25" s="26" t="n"/>
    </row>
    <row r="26">
      <c r="A26" s="15" t="n"/>
      <c r="B26" s="15" t="n"/>
      <c r="C26" s="15" t="n"/>
      <c r="D26" s="16" t="n"/>
      <c r="E26" s="16" t="n"/>
      <c r="F26" s="17" t="n"/>
      <c r="G26" s="17" t="n"/>
      <c r="H26" s="17" t="n"/>
      <c r="I26" s="17" t="n"/>
      <c r="J26" s="20" t="n"/>
    </row>
  </sheetData>
  <conditionalFormatting sqref="E2:E26">
    <cfRule type="expression" priority="1" dxfId="3">
      <formula>E2="Tamamlandı"</formula>
    </cfRule>
    <cfRule type="expression" priority="2" dxfId="2">
      <formula>E2="Devam Ediyor"</formula>
    </cfRule>
    <cfRule type="expression" priority="3" dxfId="1">
      <formula>OR(E2="Beklemede",E2="İptal Edildi")</formula>
    </cfRule>
    <cfRule type="expression" priority="4" dxfId="0">
      <formula>AND(E2&lt;&gt;"Tamamlandı",E2&lt;&gt;"İptal Edildi",E2&lt;&gt;"",H2&lt;&gt;"",H2&lt;TODAY())</formula>
    </cfRule>
  </conditionalFormatting>
  <dataValidations count="3">
    <dataValidation sqref="F2:I26" showDropDown="0" showInputMessage="0" showErrorMessage="1" allowBlank="1" errorTitle="Geçersiz Tarih" error="Lütfen GG.AA.YYYY formatında geçerli bir tarih girin (2020-2035 arası)." type="date">
      <formula1>2020-1-1</formula1>
      <formula2>2035-12-31</formula2>
    </dataValidation>
    <dataValidation sqref="E2:E26" showDropDown="0" showInputMessage="0" showErrorMessage="1" allowBlank="1" errorTitle="Geçersiz Durum" error="Lütfen listeden bir durum seçin: Başlamadı, Devam Ediyor, Beklemede, Tamamlandı, İptal Edildi." type="list">
      <formula1>"Başlamadı,Devam Ediyor,Beklemede,Tamamlandı,İptal Edildi"</formula1>
      <formula2>0</formula2>
    </dataValidation>
    <dataValidation sqref="D2:D26" showDropDown="0" showInputMessage="0" showErrorMessage="1" allowBlank="1" errorTitle="Geçersiz Öncelik" error="Lütfen listeden bir öncelik seçin: Kritik, Yüksek, Orta, Düşük." type="list">
      <formula1>"Kritik,Yüksek,Orta,Düşük"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3" max="3"/>
    <col width="70" customWidth="1" min="6" max="6"/>
  </cols>
  <sheetData>
    <row r="1">
      <c r="A1" s="28" t="inlineStr">
        <is>
          <t>Durum Renk Kodları:</t>
        </is>
      </c>
    </row>
    <row r="2">
      <c r="A2" t="inlineStr">
        <is>
          <t>Tamamlandı</t>
        </is>
      </c>
    </row>
    <row r="3">
      <c r="A3" t="inlineStr">
        <is>
          <t>Devam Ediyor</t>
        </is>
      </c>
    </row>
    <row r="4">
      <c r="A4" t="inlineStr">
        <is>
          <t>Beklemede / İptal Edildi</t>
        </is>
      </c>
    </row>
    <row r="5">
      <c r="A5" t="inlineStr">
        <is>
          <t>Gecikmiş (Planlanan bitiş geçti)</t>
        </is>
      </c>
    </row>
    <row r="6">
      <c r="A6" t="inlineStr">
        <is>
          <t>Mavi renkli hücreler (tarihler ve İlerleme %) elle doldurulur. Tahmini/Gerçekleşen/Kalan Süre otomatik hesaplanır.</t>
        </is>
      </c>
    </row>
    <row r="7">
      <c r="A7" s="28" t="inlineStr">
        <is>
          <t>SÜTUN KURALLARI VE FORMATLARI</t>
        </is>
      </c>
    </row>
    <row r="8">
      <c r="A8" t="inlineStr">
        <is>
          <t>Sütun</t>
        </is>
      </c>
      <c r="C8" t="inlineStr">
        <is>
          <t>Veri Türü / Görünüm</t>
        </is>
      </c>
      <c r="F8" t="inlineStr">
        <is>
          <t>Kural / Açıklama</t>
        </is>
      </c>
    </row>
    <row r="9">
      <c r="A9" t="inlineStr">
        <is>
          <t>Görev ID</t>
        </is>
      </c>
      <c r="C9" t="inlineStr">
        <is>
          <t>Serbest metin (max. 10 karakter)</t>
        </is>
      </c>
      <c r="F9" t="inlineStr">
        <is>
          <t>Benzersiz görev numarası, örn. G001. 10 karakteri aşarsa uyarı verir.</t>
        </is>
      </c>
    </row>
    <row r="10">
      <c r="A10" t="inlineStr">
        <is>
          <t>Proje Aşaması</t>
        </is>
      </c>
      <c r="C10" t="inlineStr">
        <is>
          <t>Serbest metin</t>
        </is>
      </c>
      <c r="F10" t="inlineStr">
        <is>
          <t>Görevin ait olduğu proje aşaması (örn. Planlama, Tasarım, Geliştirme, Test, Lansman).</t>
        </is>
      </c>
    </row>
    <row r="11">
      <c r="A11" t="inlineStr">
        <is>
          <t>Görev Adı</t>
        </is>
      </c>
      <c r="C11" t="inlineStr">
        <is>
          <t>Serbest metin</t>
        </is>
      </c>
      <c r="F11" t="inlineStr">
        <is>
          <t>Yapılacak işin kısa tanımı.</t>
        </is>
      </c>
    </row>
    <row r="12">
      <c r="A12" t="inlineStr">
        <is>
          <t>Sorumlu</t>
        </is>
      </c>
      <c r="C12" t="inlineStr">
        <is>
          <t>Serbest metin</t>
        </is>
      </c>
      <c r="F12" t="inlineStr">
        <is>
          <t>Görevi yürüten kişinin adı.</t>
        </is>
      </c>
    </row>
    <row r="13">
      <c r="A13" t="inlineStr">
        <is>
          <t>Öncelik</t>
        </is>
      </c>
      <c r="C13" t="inlineStr">
        <is>
          <t>Açılır liste (dropdown)</t>
        </is>
      </c>
      <c r="F13" t="inlineStr">
        <is>
          <t>Kritik / Yüksek / Orta / Düşük — sadece listeden seçilir.</t>
        </is>
      </c>
    </row>
    <row r="14">
      <c r="A14" t="inlineStr">
        <is>
          <t>Durum</t>
        </is>
      </c>
      <c r="C14" t="inlineStr">
        <is>
          <t>Açılır liste (dropdown) + renk</t>
        </is>
      </c>
      <c r="F14" t="inlineStr">
        <is>
          <t>Başlamadı / Devam Ediyor / Beklemede / Tamamlandı / İptal Edildi. Seçime göre satır otomatik renklenir (yeşil/sarı/gri/kırmızı).</t>
        </is>
      </c>
    </row>
    <row r="15">
      <c r="A15" t="inlineStr">
        <is>
          <t>Planlanan Başlangıç</t>
        </is>
      </c>
      <c r="C15" t="inlineStr">
        <is>
          <t>Tarih (GG.AA.YYYY)</t>
        </is>
      </c>
      <c r="F15" t="inlineStr">
        <is>
          <t>Sadece geçerli tarih (2020-2035) girilebilir; hatalı girişte uyarı çıkar.</t>
        </is>
      </c>
    </row>
    <row r="16">
      <c r="A16" t="inlineStr">
        <is>
          <t>Gerçekleşen Başlangıç</t>
        </is>
      </c>
      <c r="C16" t="inlineStr">
        <is>
          <t>Tarih (GG.AA.YYYY)</t>
        </is>
      </c>
      <c r="F16" t="inlineStr">
        <is>
          <t>Görev fiilen başladığında doldurulur.</t>
        </is>
      </c>
    </row>
    <row r="17">
      <c r="A17" t="inlineStr">
        <is>
          <t>Planlanan Bitiş</t>
        </is>
      </c>
      <c r="C17" t="inlineStr">
        <is>
          <t>Tarih (GG.AA.YYYY)</t>
        </is>
      </c>
      <c r="F17" t="inlineStr">
        <is>
          <t>Süre ve gecikme hesaplamalarının temelidir.</t>
        </is>
      </c>
    </row>
    <row r="18">
      <c r="A18" t="inlineStr">
        <is>
          <t>Gerçekleşen Bitiş</t>
        </is>
      </c>
      <c r="C18" t="inlineStr">
        <is>
          <t>Tarih (GG.AA.YYYY)</t>
        </is>
      </c>
      <c r="F18" t="inlineStr">
        <is>
          <t>Görev fiilen bittiğinde doldurulur.</t>
        </is>
      </c>
    </row>
    <row r="19">
      <c r="A19" t="inlineStr">
        <is>
          <t>Tahmini Süre (Gün)</t>
        </is>
      </c>
      <c r="C19" t="inlineStr">
        <is>
          <t>Sayı — otomatik formül</t>
        </is>
      </c>
      <c r="F19" t="inlineStr">
        <is>
          <t>Planlanan başlangıç/bitiş tarihlerinden NETWORKDAYS ile otomatik hesaplanır; elle girilmez.</t>
        </is>
      </c>
    </row>
    <row r="20">
      <c r="A20" t="inlineStr">
        <is>
          <t>Gerçekleşen Süre (Gün)</t>
        </is>
      </c>
      <c r="C20" t="inlineStr">
        <is>
          <t>Sayı — otomatik formül</t>
        </is>
      </c>
      <c r="F20" t="inlineStr">
        <is>
          <t>Gerçekleşen başlangıç/bitiş tarihlerinden otomatik hesaplanır; elle girilmez.</t>
        </is>
      </c>
    </row>
    <row r="21">
      <c r="A21" t="inlineStr">
        <is>
          <t>Kalan Süre (Gün)</t>
        </is>
      </c>
      <c r="C21" t="inlineStr">
        <is>
          <t>Sayı — otomatik formül</t>
        </is>
      </c>
      <c r="F21" t="inlineStr">
        <is>
          <t>Bugünün tarihine göre otomatik hesaplanır; Tamamlandı/İptal Edildi durumunda 0 olur.</t>
        </is>
      </c>
    </row>
    <row r="22">
      <c r="A22" t="inlineStr">
        <is>
          <t>İlerleme (%)</t>
        </is>
      </c>
      <c r="C22" t="inlineStr">
        <is>
          <t>Yüzde (0% - 100%)</t>
        </is>
      </c>
      <c r="F22" t="inlineStr">
        <is>
          <t>0 ile 1 arasında ondalık sayı girilir (örn. %60 için 0,6); veri çubuğu ile görselleştirilir.</t>
        </is>
      </c>
    </row>
    <row r="23">
      <c r="A23" t="inlineStr">
        <is>
          <t>Not</t>
        </is>
      </c>
      <c r="C23" t="inlineStr">
        <is>
          <t>Serbest metin</t>
        </is>
      </c>
      <c r="F23" t="inlineStr">
        <is>
          <t>Görevle ilgili ek açıklama, uyarı veya hatırlatma.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2026-08-10T07:15:41Z</dcterms:created>
  <dcterms:modified xsi:type="dcterms:W3CDTF">2026-09-02T14:27:07Z</dcterms:modified>
  <cp:lastModifiedBy>Sıla Sevim</cp:lastModifiedBy>
  <cp:revision>0</cp:revision>
</cp:coreProperties>
</file>